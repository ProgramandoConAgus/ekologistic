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einoso\Desktop\INICIAL PL\"/>
    </mc:Choice>
  </mc:AlternateContent>
  <xr:revisionPtr revIDLastSave="0" documentId="13_ncr:1_{D1C54526-A9FC-463A-A5DD-6C008267A2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Sheet1!$A$1:$AA$11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2" i="1"/>
</calcChain>
</file>

<file path=xl/sharedStrings.xml><?xml version="1.0" encoding="utf-8"?>
<sst xmlns="http://schemas.openxmlformats.org/spreadsheetml/2006/main" count="157" uniqueCount="80">
  <si>
    <t>numero_packingList_pl</t>
  </si>
  <si>
    <t>DAE</t>
  </si>
  <si>
    <t>Destiny POD</t>
  </si>
  <si>
    <t>Forwarder</t>
  </si>
  <si>
    <t>Shipping Line</t>
  </si>
  <si>
    <t>Incoterm</t>
  </si>
  <si>
    <t>Dispatch Date Warenhouse EC</t>
  </si>
  <si>
    <t>Departure Port Origin EC</t>
  </si>
  <si>
    <t>Booking BL</t>
  </si>
  <si>
    <t>Number Container</t>
  </si>
  <si>
    <t>Number Commercial Inovice</t>
  </si>
  <si>
    <t>Code Product EC</t>
  </si>
  <si>
    <t>Number LOT</t>
  </si>
  <si>
    <t>Customer</t>
  </si>
  <si>
    <t>Number PO</t>
  </si>
  <si>
    <t>Description</t>
  </si>
  <si>
    <t>Packing Unit</t>
  </si>
  <si>
    <t>Qty Box</t>
  </si>
  <si>
    <t>Weight Neto Per box kg</t>
  </si>
  <si>
    <t>Weight Bruto Per box kg</t>
  </si>
  <si>
    <t>Total Weight kg</t>
  </si>
  <si>
    <t>ETA Date</t>
  </si>
  <si>
    <t>Price BOX EC</t>
  </si>
  <si>
    <t>Total Price EC</t>
  </si>
  <si>
    <t>Price BOX USA</t>
  </si>
  <si>
    <t>Total Price BOX USA</t>
  </si>
  <si>
    <t xml:space="preserve">028-2025-40-01469889 </t>
  </si>
  <si>
    <t>MIAMI</t>
  </si>
  <si>
    <t>DHL</t>
  </si>
  <si>
    <t>ZIM</t>
  </si>
  <si>
    <t>CFR</t>
  </si>
  <si>
    <t>17/6/2025</t>
  </si>
  <si>
    <t>ZIMUGYL00019616</t>
  </si>
  <si>
    <t>JXLU6278935</t>
  </si>
  <si>
    <t>LEX00408</t>
  </si>
  <si>
    <t>1738</t>
  </si>
  <si>
    <t>THE PACKAGING SOURCE</t>
  </si>
  <si>
    <t>9317</t>
  </si>
  <si>
    <t>WHITE KRAFT PAPER BAG BREAKERS 13x7x17 (250)</t>
  </si>
  <si>
    <t>lex00381</t>
  </si>
  <si>
    <t>1705</t>
  </si>
  <si>
    <t>AMERICAN PAPER</t>
  </si>
  <si>
    <t>86586</t>
  </si>
  <si>
    <t>KRAFT PAPER BAG LEATHERS WITH STYLE 16X6X12 (250)</t>
  </si>
  <si>
    <t>lex00380</t>
  </si>
  <si>
    <t>1706</t>
  </si>
  <si>
    <t xml:space="preserve">KRAFT PAPER BAG LEATHERS WITH STYLE 8.67X4.13X10.43 (250) </t>
  </si>
  <si>
    <t>LEX00404</t>
  </si>
  <si>
    <t>1720</t>
  </si>
  <si>
    <t>RIVEN</t>
  </si>
  <si>
    <t>66730</t>
  </si>
  <si>
    <t>WHITE KRAFT PAPER BAG D LITE 8.5x8.5x18 (400)</t>
  </si>
  <si>
    <t>LEX00406</t>
  </si>
  <si>
    <t>1729</t>
  </si>
  <si>
    <t>SOLUPAC</t>
  </si>
  <si>
    <t>15660</t>
  </si>
  <si>
    <t>WHITE KRAFT PAPER BAG KALUZ RESTAURANT 10X5X13 (250)</t>
  </si>
  <si>
    <t>LEX00243</t>
  </si>
  <si>
    <t>1301</t>
  </si>
  <si>
    <t>GAP</t>
  </si>
  <si>
    <t>FUNDA KRAFT NATURAL GAP LARGE SHOPPER</t>
  </si>
  <si>
    <t>10/6/2025</t>
  </si>
  <si>
    <t>LEX00411</t>
  </si>
  <si>
    <t>1732</t>
  </si>
  <si>
    <t>10284</t>
  </si>
  <si>
    <t>WHITE KRAFT PAPER BAG SEAPORT HOTEL 12x9x15.75 (250)</t>
  </si>
  <si>
    <t>LEX00423</t>
  </si>
  <si>
    <t>1764</t>
  </si>
  <si>
    <t>87051</t>
  </si>
  <si>
    <t>WHITE KRAFT PAPER BAG DOTTED PIG 16x6x12 (250)</t>
  </si>
  <si>
    <t>LEX00063</t>
  </si>
  <si>
    <t>1712</t>
  </si>
  <si>
    <t>STOCK</t>
  </si>
  <si>
    <t>KRAFT PAPER PLAIN BAG Missy Natural kraft 100gsm 9,89*4,92*13</t>
  </si>
  <si>
    <t>LEX00202</t>
  </si>
  <si>
    <t>1717</t>
  </si>
  <si>
    <t>KRAFT NATURAL PAPER PLAIN BAG CHESAPEAKE 12X8X13</t>
  </si>
  <si>
    <t>ACME</t>
  </si>
  <si>
    <t>1267443</t>
  </si>
  <si>
    <t>Num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</si>
</sst>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"/>
  <sheetViews>
    <sheetView tabSelected="1" workbookViewId="0">
      <selection activeCell="E10" sqref="E10"/>
    </sheetView>
  </sheetViews>
  <sheetFormatPr baseColWidth="10" defaultColWidth="21.7109375" defaultRowHeight="12.75" x14ac:dyDescent="0.2"/>
  <cols>
    <col min="17" max="17" width="53.85546875" bestFit="1" customWidth="1"/>
    <col min="18" max="18" width="10.42578125" bestFit="1" customWidth="1"/>
    <col min="19" max="19" width="7.140625" bestFit="1" customWidth="1"/>
    <col min="20" max="20" width="19.85546875" bestFit="1" customWidth="1"/>
    <col min="21" max="21" width="20.28515625" bestFit="1" customWidth="1"/>
    <col min="22" max="22" width="13.140625" bestFit="1" customWidth="1"/>
    <col min="23" max="23" width="10.42578125" bestFit="1" customWidth="1"/>
    <col min="24" max="24" width="10.85546875" bestFit="1" customWidth="1"/>
    <col min="25" max="25" width="11.42578125" bestFit="1" customWidth="1"/>
    <col min="26" max="26" width="12.140625" bestFit="1" customWidth="1"/>
    <col min="27" max="27" width="16.5703125" bestFit="1" customWidth="1"/>
  </cols>
  <sheetData>
    <row r="1" spans="1:27" x14ac:dyDescent="0.2">
      <c r="A1" s="1" t="s">
        <v>0</v>
      </c>
      <c r="B1" s="1" t="s">
        <v>79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">
      <c r="A2" s="2">
        <v>69</v>
      </c>
      <c r="B2" s="2">
        <v>200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4">
        <v>45826</v>
      </c>
      <c r="J2" s="3" t="s">
        <v>32</v>
      </c>
      <c r="K2" s="3" t="s">
        <v>33</v>
      </c>
      <c r="L2">
        <v>3176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2">
        <v>250</v>
      </c>
      <c r="S2" s="2">
        <v>41</v>
      </c>
      <c r="T2" s="2">
        <v>25</v>
      </c>
      <c r="U2" s="2">
        <v>26</v>
      </c>
      <c r="V2" s="2">
        <v>1066</v>
      </c>
      <c r="W2" s="4">
        <v>45836</v>
      </c>
      <c r="X2" s="2">
        <v>73.5</v>
      </c>
      <c r="Y2" s="2">
        <v>3013.5</v>
      </c>
      <c r="Z2" s="2">
        <v>86.95</v>
      </c>
      <c r="AA2" s="2">
        <f>+Z2*S2</f>
        <v>3564.9500000000003</v>
      </c>
    </row>
    <row r="3" spans="1:27" x14ac:dyDescent="0.2">
      <c r="A3" s="2">
        <v>69</v>
      </c>
      <c r="B3" s="2">
        <v>200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4">
        <v>45826</v>
      </c>
      <c r="J3" s="3" t="s">
        <v>32</v>
      </c>
      <c r="K3" s="3" t="s">
        <v>33</v>
      </c>
      <c r="L3">
        <v>3168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43</v>
      </c>
      <c r="R3" s="2">
        <v>250</v>
      </c>
      <c r="S3" s="2">
        <v>21</v>
      </c>
      <c r="T3" s="2">
        <v>18.5</v>
      </c>
      <c r="U3" s="2">
        <v>19.5</v>
      </c>
      <c r="V3" s="2">
        <v>409.5</v>
      </c>
      <c r="W3" s="4">
        <v>45836</v>
      </c>
      <c r="X3" s="2">
        <v>60</v>
      </c>
      <c r="Y3" s="2">
        <v>1260</v>
      </c>
      <c r="Z3" s="2">
        <v>76.75</v>
      </c>
      <c r="AA3" s="2">
        <f t="shared" ref="AA3:AA11" si="0">+Z3*S3</f>
        <v>1611.75</v>
      </c>
    </row>
    <row r="4" spans="1:27" x14ac:dyDescent="0.2">
      <c r="A4" s="2">
        <v>69</v>
      </c>
      <c r="B4" s="2">
        <v>200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4">
        <v>45826</v>
      </c>
      <c r="J4" s="3" t="s">
        <v>32</v>
      </c>
      <c r="K4" s="3" t="s">
        <v>33</v>
      </c>
      <c r="L4">
        <v>3168</v>
      </c>
      <c r="M4" s="3" t="s">
        <v>44</v>
      </c>
      <c r="N4" s="3" t="s">
        <v>45</v>
      </c>
      <c r="O4" s="3" t="s">
        <v>41</v>
      </c>
      <c r="P4" s="3" t="s">
        <v>42</v>
      </c>
      <c r="Q4" s="3" t="s">
        <v>46</v>
      </c>
      <c r="R4" s="2">
        <v>250</v>
      </c>
      <c r="S4" s="2">
        <v>21</v>
      </c>
      <c r="T4" s="2">
        <v>11</v>
      </c>
      <c r="U4" s="2">
        <v>12</v>
      </c>
      <c r="V4" s="2">
        <v>252</v>
      </c>
      <c r="W4" s="4">
        <v>45836</v>
      </c>
      <c r="X4" s="2">
        <v>50</v>
      </c>
      <c r="Y4" s="2">
        <v>1050</v>
      </c>
      <c r="Z4" s="2">
        <v>64</v>
      </c>
      <c r="AA4" s="2">
        <f t="shared" si="0"/>
        <v>1344</v>
      </c>
    </row>
    <row r="5" spans="1:27" x14ac:dyDescent="0.2">
      <c r="A5" s="2">
        <v>69</v>
      </c>
      <c r="B5" s="2">
        <v>200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4">
        <v>45826</v>
      </c>
      <c r="J5" s="3" t="s">
        <v>32</v>
      </c>
      <c r="K5" s="3" t="s">
        <v>33</v>
      </c>
      <c r="L5">
        <v>3171</v>
      </c>
      <c r="M5" s="3" t="s">
        <v>47</v>
      </c>
      <c r="N5" s="3" t="s">
        <v>48</v>
      </c>
      <c r="O5" s="3" t="s">
        <v>49</v>
      </c>
      <c r="P5" s="3" t="s">
        <v>50</v>
      </c>
      <c r="Q5" s="3" t="s">
        <v>51</v>
      </c>
      <c r="R5" s="2">
        <v>400</v>
      </c>
      <c r="S5" s="2">
        <v>18</v>
      </c>
      <c r="T5" s="2">
        <v>28</v>
      </c>
      <c r="U5" s="2">
        <v>29</v>
      </c>
      <c r="V5" s="2">
        <v>522</v>
      </c>
      <c r="W5" s="4">
        <v>45836</v>
      </c>
      <c r="X5" s="2">
        <v>65.599999999999994</v>
      </c>
      <c r="Y5" s="2">
        <v>1180.8</v>
      </c>
      <c r="Z5" s="2">
        <v>84</v>
      </c>
      <c r="AA5" s="2">
        <f t="shared" si="0"/>
        <v>1512</v>
      </c>
    </row>
    <row r="6" spans="1:27" x14ac:dyDescent="0.2">
      <c r="A6" s="2">
        <v>69</v>
      </c>
      <c r="B6" s="2">
        <v>200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31</v>
      </c>
      <c r="I6" s="4">
        <v>45826</v>
      </c>
      <c r="J6" s="3" t="s">
        <v>32</v>
      </c>
      <c r="K6" s="3" t="s">
        <v>33</v>
      </c>
      <c r="L6">
        <v>3172</v>
      </c>
      <c r="M6" s="3" t="s">
        <v>52</v>
      </c>
      <c r="N6" s="3" t="s">
        <v>53</v>
      </c>
      <c r="O6" s="3" t="s">
        <v>54</v>
      </c>
      <c r="P6" s="3" t="s">
        <v>55</v>
      </c>
      <c r="Q6" s="3" t="s">
        <v>56</v>
      </c>
      <c r="R6" s="2">
        <v>250</v>
      </c>
      <c r="S6" s="2">
        <v>200</v>
      </c>
      <c r="T6" s="2">
        <v>13</v>
      </c>
      <c r="U6" s="2">
        <v>14</v>
      </c>
      <c r="V6" s="2">
        <v>2800</v>
      </c>
      <c r="W6" s="4">
        <v>45836</v>
      </c>
      <c r="X6" s="2">
        <v>29.3</v>
      </c>
      <c r="Y6" s="2">
        <v>5860</v>
      </c>
      <c r="Z6" s="2">
        <v>38.055</v>
      </c>
      <c r="AA6" s="2">
        <f t="shared" si="0"/>
        <v>7611</v>
      </c>
    </row>
    <row r="7" spans="1:27" x14ac:dyDescent="0.2">
      <c r="A7" s="2">
        <v>69</v>
      </c>
      <c r="B7" s="2">
        <v>200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31</v>
      </c>
      <c r="I7" s="4">
        <v>45826</v>
      </c>
      <c r="J7" s="3" t="s">
        <v>32</v>
      </c>
      <c r="K7" s="3" t="s">
        <v>33</v>
      </c>
      <c r="L7">
        <v>3169</v>
      </c>
      <c r="M7" s="3" t="s">
        <v>57</v>
      </c>
      <c r="N7" s="3" t="s">
        <v>58</v>
      </c>
      <c r="O7" s="3" t="s">
        <v>59</v>
      </c>
      <c r="P7" s="3" t="s">
        <v>78</v>
      </c>
      <c r="Q7" s="3" t="s">
        <v>60</v>
      </c>
      <c r="R7" s="2">
        <v>250</v>
      </c>
      <c r="S7" s="2">
        <v>413</v>
      </c>
      <c r="T7" s="2">
        <v>21</v>
      </c>
      <c r="U7" s="2">
        <v>22</v>
      </c>
      <c r="V7" s="2">
        <v>9086</v>
      </c>
      <c r="W7" s="4">
        <v>45836</v>
      </c>
      <c r="X7" s="5">
        <v>36.75</v>
      </c>
      <c r="Y7" s="2">
        <v>15177.75</v>
      </c>
      <c r="Z7" s="2">
        <v>37.5</v>
      </c>
      <c r="AA7" s="2">
        <f t="shared" si="0"/>
        <v>15487.5</v>
      </c>
    </row>
    <row r="8" spans="1:27" x14ac:dyDescent="0.2">
      <c r="A8" s="2">
        <v>69</v>
      </c>
      <c r="B8" s="2">
        <v>200</v>
      </c>
      <c r="C8" s="3" t="s">
        <v>26</v>
      </c>
      <c r="D8" s="3" t="s">
        <v>27</v>
      </c>
      <c r="E8" s="3" t="s">
        <v>28</v>
      </c>
      <c r="F8" s="3" t="s">
        <v>29</v>
      </c>
      <c r="G8" s="3" t="s">
        <v>30</v>
      </c>
      <c r="H8" s="3" t="s">
        <v>61</v>
      </c>
      <c r="I8" s="4">
        <v>45826</v>
      </c>
      <c r="J8" s="3" t="s">
        <v>32</v>
      </c>
      <c r="K8" s="3" t="s">
        <v>33</v>
      </c>
      <c r="L8">
        <v>3173</v>
      </c>
      <c r="M8" s="3" t="s">
        <v>62</v>
      </c>
      <c r="N8" s="3" t="s">
        <v>63</v>
      </c>
      <c r="O8" s="3" t="s">
        <v>36</v>
      </c>
      <c r="P8" s="3" t="s">
        <v>64</v>
      </c>
      <c r="Q8" s="3" t="s">
        <v>65</v>
      </c>
      <c r="R8" s="2">
        <v>250</v>
      </c>
      <c r="S8" s="2">
        <v>16</v>
      </c>
      <c r="T8" s="2">
        <v>26</v>
      </c>
      <c r="U8" s="2">
        <v>27</v>
      </c>
      <c r="V8" s="2">
        <v>432</v>
      </c>
      <c r="W8" s="4">
        <v>45836</v>
      </c>
      <c r="X8" s="2">
        <v>44.75</v>
      </c>
      <c r="Y8" s="2">
        <v>716</v>
      </c>
      <c r="Z8" s="2">
        <v>57.5</v>
      </c>
      <c r="AA8" s="2">
        <f t="shared" si="0"/>
        <v>920</v>
      </c>
    </row>
    <row r="9" spans="1:27" x14ac:dyDescent="0.2">
      <c r="A9" s="2">
        <v>69</v>
      </c>
      <c r="B9" s="2">
        <v>200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30</v>
      </c>
      <c r="H9" s="3" t="s">
        <v>31</v>
      </c>
      <c r="I9" s="4">
        <v>45826</v>
      </c>
      <c r="J9" s="3" t="s">
        <v>32</v>
      </c>
      <c r="K9" s="3" t="s">
        <v>33</v>
      </c>
      <c r="L9">
        <v>3168</v>
      </c>
      <c r="M9" s="3" t="s">
        <v>66</v>
      </c>
      <c r="N9" s="3" t="s">
        <v>67</v>
      </c>
      <c r="O9" s="3" t="s">
        <v>41</v>
      </c>
      <c r="P9" s="3" t="s">
        <v>68</v>
      </c>
      <c r="Q9" s="3" t="s">
        <v>69</v>
      </c>
      <c r="R9" s="2">
        <v>250</v>
      </c>
      <c r="S9" s="2">
        <v>15</v>
      </c>
      <c r="T9" s="2">
        <v>21.5</v>
      </c>
      <c r="U9" s="2">
        <v>22.5</v>
      </c>
      <c r="V9" s="2">
        <v>337.5</v>
      </c>
      <c r="W9" s="4">
        <v>45836</v>
      </c>
      <c r="X9" s="2">
        <v>70.75</v>
      </c>
      <c r="Y9" s="2">
        <v>1061.25</v>
      </c>
      <c r="Z9" s="2">
        <v>90.75</v>
      </c>
      <c r="AA9" s="2">
        <f t="shared" si="0"/>
        <v>1361.25</v>
      </c>
    </row>
    <row r="10" spans="1:27" x14ac:dyDescent="0.2">
      <c r="A10" s="2">
        <v>69</v>
      </c>
      <c r="B10" s="2">
        <v>200</v>
      </c>
      <c r="C10" s="3" t="s">
        <v>26</v>
      </c>
      <c r="D10" s="3" t="s">
        <v>27</v>
      </c>
      <c r="E10" s="3" t="s">
        <v>28</v>
      </c>
      <c r="F10" s="3" t="s">
        <v>29</v>
      </c>
      <c r="G10" s="3" t="s">
        <v>30</v>
      </c>
      <c r="H10" s="3" t="s">
        <v>31</v>
      </c>
      <c r="I10" s="4">
        <v>45826</v>
      </c>
      <c r="J10" s="3" t="s">
        <v>32</v>
      </c>
      <c r="K10" s="3" t="s">
        <v>33</v>
      </c>
      <c r="L10">
        <v>3167</v>
      </c>
      <c r="M10" s="3" t="s">
        <v>70</v>
      </c>
      <c r="N10" s="3" t="s">
        <v>71</v>
      </c>
      <c r="O10" s="3" t="s">
        <v>77</v>
      </c>
      <c r="P10" s="3" t="s">
        <v>72</v>
      </c>
      <c r="Q10" s="3" t="s">
        <v>73</v>
      </c>
      <c r="R10" s="2">
        <v>250</v>
      </c>
      <c r="S10" s="2">
        <v>108</v>
      </c>
      <c r="T10" s="2">
        <v>12.5</v>
      </c>
      <c r="U10" s="2">
        <v>13.5</v>
      </c>
      <c r="V10" s="2">
        <v>1458</v>
      </c>
      <c r="W10" s="4">
        <v>45836</v>
      </c>
      <c r="X10" s="2">
        <v>24.274999999999999</v>
      </c>
      <c r="Y10" s="2">
        <v>2621.7</v>
      </c>
      <c r="Z10" s="2">
        <v>30</v>
      </c>
      <c r="AA10" s="2">
        <f t="shared" si="0"/>
        <v>3240</v>
      </c>
    </row>
    <row r="11" spans="1:27" x14ac:dyDescent="0.2">
      <c r="A11" s="2">
        <v>69</v>
      </c>
      <c r="B11" s="2">
        <v>200</v>
      </c>
      <c r="C11" s="3" t="s">
        <v>26</v>
      </c>
      <c r="D11" s="3" t="s">
        <v>27</v>
      </c>
      <c r="E11" s="3" t="s">
        <v>28</v>
      </c>
      <c r="F11" s="3" t="s">
        <v>29</v>
      </c>
      <c r="G11" s="3" t="s">
        <v>30</v>
      </c>
      <c r="H11" s="3" t="s">
        <v>31</v>
      </c>
      <c r="I11" s="4">
        <v>45826</v>
      </c>
      <c r="J11" s="3" t="s">
        <v>32</v>
      </c>
      <c r="K11" s="3" t="s">
        <v>33</v>
      </c>
      <c r="L11">
        <v>3167</v>
      </c>
      <c r="M11" s="3" t="s">
        <v>74</v>
      </c>
      <c r="N11" s="3" t="s">
        <v>75</v>
      </c>
      <c r="O11" s="3" t="s">
        <v>77</v>
      </c>
      <c r="P11" s="3" t="s">
        <v>72</v>
      </c>
      <c r="Q11" s="3" t="s">
        <v>76</v>
      </c>
      <c r="R11" s="2">
        <v>250</v>
      </c>
      <c r="S11" s="2">
        <v>36</v>
      </c>
      <c r="T11" s="2">
        <v>18</v>
      </c>
      <c r="U11" s="2">
        <v>19</v>
      </c>
      <c r="V11" s="2">
        <v>684</v>
      </c>
      <c r="W11" s="4">
        <v>45836</v>
      </c>
      <c r="X11" s="2">
        <v>29.3</v>
      </c>
      <c r="Y11" s="2">
        <v>1054.8</v>
      </c>
      <c r="Z11" s="2">
        <v>36</v>
      </c>
      <c r="AA11" s="2">
        <f t="shared" si="0"/>
        <v>1296</v>
      </c>
    </row>
  </sheetData>
  <autoFilter ref="A1:AA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kreinoso</dc:creator>
  <cp:lastModifiedBy>Kimberly Reinoso</cp:lastModifiedBy>
  <dcterms:created xsi:type="dcterms:W3CDTF">2025-06-18T14:51:23Z</dcterms:created>
  <dcterms:modified xsi:type="dcterms:W3CDTF">2025-07-16T15:32:17Z</dcterms:modified>
</cp:coreProperties>
</file>