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PACKING LIST\"/>
    </mc:Choice>
  </mc:AlternateContent>
  <xr:revisionPtr revIDLastSave="0" documentId="13_ncr:1_{8232BBC2-96B3-4331-BDFE-58895E1DFD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/>
  <c r="AA2" i="1"/>
  <c r="AB2" i="1"/>
  <c r="AE3" i="1" l="1"/>
  <c r="AE4" i="1"/>
  <c r="AE5" i="1"/>
  <c r="AE6" i="1"/>
  <c r="AE2" i="1"/>
  <c r="AB3" i="1"/>
  <c r="AB4" i="1"/>
  <c r="AB5" i="1"/>
  <c r="AB6" i="1"/>
  <c r="AA3" i="1"/>
  <c r="AC3" i="1" s="1"/>
  <c r="AA4" i="1"/>
  <c r="AC4" i="1" s="1"/>
  <c r="AA5" i="1"/>
  <c r="AC5" i="1" s="1"/>
  <c r="AA6" i="1"/>
  <c r="AC6" i="1" s="1"/>
</calcChain>
</file>

<file path=xl/sharedStrings.xml><?xml version="1.0" encoding="utf-8"?>
<sst xmlns="http://schemas.openxmlformats.org/spreadsheetml/2006/main" count="107" uniqueCount="51">
  <si>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</si>
  <si>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</si>
  <si>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</si>
  <si>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</si>
  <si>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</si>
  <si>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</si>
  <si>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</si>
  <si>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</si>
  <si>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Code Product EC</t>
  </si>
  <si>
    <t>Customer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</si>
  <si>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</si>
  <si>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</si>
  <si>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</si>
  <si>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</si>
  <si>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</si>
  <si>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</si>
  <si>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</si>
  <si>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USA</t>
  </si>
  <si>
    <t>Total Price BOX USA</t>
  </si>
  <si>
    <t>028-2025-40-02424154</t>
  </si>
  <si>
    <t>MIAMI</t>
  </si>
  <si>
    <t>KN</t>
  </si>
  <si>
    <t>MAERSK</t>
  </si>
  <si>
    <t>CFR</t>
  </si>
  <si>
    <t>28/11/2025</t>
  </si>
  <si>
    <t>262454203</t>
  </si>
  <si>
    <t>BEAU5684834</t>
  </si>
  <si>
    <t>lex00260</t>
  </si>
  <si>
    <t>2101</t>
  </si>
  <si>
    <t>ON EVERYDAY</t>
  </si>
  <si>
    <t>STOCK</t>
  </si>
  <si>
    <t>KRAFT NATURAL PAPER BAG OLD NAVY LARGE EVERYDAY 120 GSM 46X16X46 (200)</t>
  </si>
  <si>
    <t>FSC MIX PBN-COC-075830</t>
  </si>
  <si>
    <t>2110</t>
  </si>
  <si>
    <t>2074</t>
  </si>
  <si>
    <t>2099</t>
  </si>
  <si>
    <t>1997</t>
  </si>
  <si>
    <t>Price Box EXW</t>
  </si>
  <si>
    <t>Price Logistic per box</t>
  </si>
  <si>
    <t>Total Price EXW</t>
  </si>
  <si>
    <t>Total Price per box (x+y)</t>
  </si>
  <si>
    <t>Total Price INCOTERM</t>
  </si>
  <si>
    <t>TYPE LOADE</t>
  </si>
  <si>
    <t>Nº Commercial Invoice</t>
  </si>
  <si>
    <t>Nº packingList_pl</t>
  </si>
  <si>
    <t>Nº Container</t>
  </si>
  <si>
    <t>Nº LOT</t>
  </si>
  <si>
    <t>Nº PO</t>
  </si>
  <si>
    <t>Code FSC</t>
  </si>
  <si>
    <t>INDIRECT</t>
  </si>
  <si>
    <t>Nº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</si>
</sst>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1" fillId="4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"/>
  <sheetViews>
    <sheetView tabSelected="1" workbookViewId="0">
      <selection activeCell="C5" sqref="C5"/>
    </sheetView>
  </sheetViews>
  <sheetFormatPr baseColWidth="10" defaultColWidth="21.7109375" defaultRowHeight="13.5" x14ac:dyDescent="0.25"/>
  <cols>
    <col min="1" max="1" width="14.140625" bestFit="1" customWidth="1"/>
    <col min="2" max="2" width="5.5703125" bestFit="1" customWidth="1"/>
    <col min="3" max="3" width="19.85546875" bestFit="1" customWidth="1"/>
    <col min="4" max="4" width="10.5703125" bestFit="1" customWidth="1"/>
    <col min="5" max="5" width="8.7109375" bestFit="1" customWidth="1"/>
    <col min="6" max="6" width="11.28515625" bestFit="1" customWidth="1"/>
    <col min="7" max="7" width="8" bestFit="1" customWidth="1"/>
    <col min="13" max="13" width="13.85546875" bestFit="1" customWidth="1"/>
    <col min="14" max="14" width="6.28515625" bestFit="1" customWidth="1"/>
    <col min="15" max="15" width="11.5703125" bestFit="1" customWidth="1"/>
    <col min="16" max="16" width="6.28515625" bestFit="1" customWidth="1"/>
    <col min="17" max="17" width="64.140625" bestFit="1" customWidth="1"/>
    <col min="19" max="19" width="10.28515625" bestFit="1" customWidth="1"/>
    <col min="20" max="20" width="6.85546875" bestFit="1" customWidth="1"/>
    <col min="21" max="21" width="18.5703125" bestFit="1" customWidth="1"/>
    <col min="22" max="22" width="19" bestFit="1" customWidth="1"/>
    <col min="23" max="23" width="12.5703125" bestFit="1" customWidth="1"/>
    <col min="24" max="24" width="10.140625" bestFit="1" customWidth="1"/>
    <col min="25" max="25" width="11.85546875" bestFit="1" customWidth="1"/>
    <col min="26" max="26" width="17.140625" bestFit="1" customWidth="1"/>
    <col min="27" max="27" width="19.28515625" bestFit="1" customWidth="1"/>
    <col min="28" max="28" width="12.85546875" bestFit="1" customWidth="1"/>
    <col min="29" max="29" width="17.85546875" bestFit="1" customWidth="1"/>
    <col min="30" max="30" width="11.85546875" bestFit="1" customWidth="1"/>
    <col min="31" max="31" width="16.140625" bestFit="1" customWidth="1"/>
    <col min="32" max="32" width="11.140625" bestFit="1" customWidth="1"/>
  </cols>
  <sheetData>
    <row r="1" spans="1:32" x14ac:dyDescent="0.25">
      <c r="A1" s="1" t="s">
        <v>44</v>
      </c>
      <c r="B1" s="1" t="s">
        <v>50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45</v>
      </c>
      <c r="L1" s="1" t="s">
        <v>43</v>
      </c>
      <c r="M1" s="1" t="s">
        <v>8</v>
      </c>
      <c r="N1" s="1" t="s">
        <v>46</v>
      </c>
      <c r="O1" s="1" t="s">
        <v>9</v>
      </c>
      <c r="P1" s="1" t="s">
        <v>47</v>
      </c>
      <c r="Q1" s="1" t="s">
        <v>10</v>
      </c>
      <c r="R1" s="1" t="s">
        <v>48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37</v>
      </c>
      <c r="Z1" s="5" t="s">
        <v>38</v>
      </c>
      <c r="AA1" s="5" t="s">
        <v>40</v>
      </c>
      <c r="AB1" s="7" t="s">
        <v>39</v>
      </c>
      <c r="AC1" s="6" t="s">
        <v>41</v>
      </c>
      <c r="AD1" s="1" t="s">
        <v>17</v>
      </c>
      <c r="AE1" s="1" t="s">
        <v>18</v>
      </c>
      <c r="AF1" s="5" t="s">
        <v>42</v>
      </c>
    </row>
    <row r="2" spans="1:32" x14ac:dyDescent="0.25">
      <c r="A2" s="2">
        <v>273</v>
      </c>
      <c r="B2" s="2">
        <v>279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4">
        <v>45990</v>
      </c>
      <c r="J2" s="3" t="s">
        <v>25</v>
      </c>
      <c r="K2" s="3" t="s">
        <v>26</v>
      </c>
      <c r="L2">
        <v>3591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2">
        <v>200</v>
      </c>
      <c r="T2" s="2">
        <v>260</v>
      </c>
      <c r="U2" s="2">
        <v>21.5</v>
      </c>
      <c r="V2" s="2">
        <v>22.5</v>
      </c>
      <c r="W2" s="2">
        <v>5850</v>
      </c>
      <c r="X2" s="4">
        <v>46007</v>
      </c>
      <c r="Y2" s="2">
        <v>32.659999999999997</v>
      </c>
      <c r="Z2" s="2">
        <v>4.1100000000000003</v>
      </c>
      <c r="AA2" s="2">
        <f>+Y2+Z2</f>
        <v>36.769999999999996</v>
      </c>
      <c r="AB2" s="2">
        <f>+T2*Y2</f>
        <v>8491.5999999999985</v>
      </c>
      <c r="AC2" s="2">
        <f>+T2*AA2</f>
        <v>9560.1999999999989</v>
      </c>
      <c r="AD2" s="2">
        <v>41.8</v>
      </c>
      <c r="AE2" s="2">
        <f>+AD2*T2</f>
        <v>10868</v>
      </c>
      <c r="AF2" s="3" t="s">
        <v>49</v>
      </c>
    </row>
    <row r="3" spans="1:32" x14ac:dyDescent="0.25">
      <c r="A3" s="2">
        <v>273</v>
      </c>
      <c r="B3" s="2">
        <v>279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4">
        <v>45990</v>
      </c>
      <c r="J3" s="3" t="s">
        <v>25</v>
      </c>
      <c r="K3" s="3" t="s">
        <v>26</v>
      </c>
      <c r="L3">
        <v>3591</v>
      </c>
      <c r="M3" s="3" t="s">
        <v>27</v>
      </c>
      <c r="N3" s="3" t="s">
        <v>33</v>
      </c>
      <c r="O3" s="3" t="s">
        <v>29</v>
      </c>
      <c r="P3" s="3" t="s">
        <v>30</v>
      </c>
      <c r="Q3" s="3" t="s">
        <v>31</v>
      </c>
      <c r="R3" s="3" t="s">
        <v>32</v>
      </c>
      <c r="S3" s="2">
        <v>200</v>
      </c>
      <c r="T3" s="2">
        <v>247</v>
      </c>
      <c r="U3" s="2">
        <v>21.5</v>
      </c>
      <c r="V3" s="2">
        <v>22.5</v>
      </c>
      <c r="W3" s="2">
        <v>5557.5</v>
      </c>
      <c r="X3" s="4">
        <v>46007</v>
      </c>
      <c r="Y3" s="2">
        <v>32.659999999999997</v>
      </c>
      <c r="Z3" s="2">
        <v>4.1100000000000003</v>
      </c>
      <c r="AA3" s="2">
        <f t="shared" ref="AA3:AA6" si="0">+Y3+Z3</f>
        <v>36.769999999999996</v>
      </c>
      <c r="AB3" s="2">
        <f t="shared" ref="AB3:AB6" si="1">+T3*Y3</f>
        <v>8067.0199999999995</v>
      </c>
      <c r="AC3" s="2">
        <f t="shared" ref="AC3:AC6" si="2">+T3*AA3</f>
        <v>9082.1899999999987</v>
      </c>
      <c r="AD3" s="2">
        <v>41.8</v>
      </c>
      <c r="AE3" s="2">
        <f t="shared" ref="AE3:AE6" si="3">+AD3*T3</f>
        <v>10324.599999999999</v>
      </c>
      <c r="AF3" s="3" t="s">
        <v>49</v>
      </c>
    </row>
    <row r="4" spans="1:32" x14ac:dyDescent="0.25">
      <c r="A4" s="2">
        <v>273</v>
      </c>
      <c r="B4" s="2">
        <v>279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4">
        <v>45990</v>
      </c>
      <c r="J4" s="3" t="s">
        <v>25</v>
      </c>
      <c r="K4" s="3" t="s">
        <v>26</v>
      </c>
      <c r="L4">
        <v>3591</v>
      </c>
      <c r="M4" s="3" t="s">
        <v>27</v>
      </c>
      <c r="N4" s="3" t="s">
        <v>34</v>
      </c>
      <c r="O4" s="3" t="s">
        <v>29</v>
      </c>
      <c r="P4" s="3" t="s">
        <v>30</v>
      </c>
      <c r="Q4" s="3" t="s">
        <v>31</v>
      </c>
      <c r="R4" s="3" t="s">
        <v>32</v>
      </c>
      <c r="S4" s="2">
        <v>200</v>
      </c>
      <c r="T4" s="2">
        <v>6</v>
      </c>
      <c r="U4" s="2">
        <v>21.5</v>
      </c>
      <c r="V4" s="2">
        <v>22.5</v>
      </c>
      <c r="W4" s="2">
        <v>135</v>
      </c>
      <c r="X4" s="4">
        <v>46007</v>
      </c>
      <c r="Y4" s="2">
        <v>32.659999999999997</v>
      </c>
      <c r="Z4" s="2">
        <v>4.1100000000000003</v>
      </c>
      <c r="AA4" s="2">
        <f t="shared" si="0"/>
        <v>36.769999999999996</v>
      </c>
      <c r="AB4" s="2">
        <f t="shared" si="1"/>
        <v>195.95999999999998</v>
      </c>
      <c r="AC4" s="2">
        <f t="shared" si="2"/>
        <v>220.61999999999998</v>
      </c>
      <c r="AD4" s="2">
        <v>41.8</v>
      </c>
      <c r="AE4" s="2">
        <f t="shared" si="3"/>
        <v>250.79999999999998</v>
      </c>
      <c r="AF4" s="3" t="s">
        <v>49</v>
      </c>
    </row>
    <row r="5" spans="1:32" x14ac:dyDescent="0.25">
      <c r="A5" s="2">
        <v>273</v>
      </c>
      <c r="B5" s="2">
        <v>279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4">
        <v>45990</v>
      </c>
      <c r="J5" s="3" t="s">
        <v>25</v>
      </c>
      <c r="K5" s="3" t="s">
        <v>26</v>
      </c>
      <c r="L5">
        <v>3591</v>
      </c>
      <c r="M5" s="3" t="s">
        <v>27</v>
      </c>
      <c r="N5" s="3" t="s">
        <v>35</v>
      </c>
      <c r="O5" s="3" t="s">
        <v>29</v>
      </c>
      <c r="P5" s="3" t="s">
        <v>30</v>
      </c>
      <c r="Q5" s="3" t="s">
        <v>31</v>
      </c>
      <c r="R5" s="3" t="s">
        <v>32</v>
      </c>
      <c r="S5" s="2">
        <v>200</v>
      </c>
      <c r="T5" s="2">
        <v>220</v>
      </c>
      <c r="U5" s="2">
        <v>21.5</v>
      </c>
      <c r="V5" s="2">
        <v>22.5</v>
      </c>
      <c r="W5" s="2">
        <v>4950</v>
      </c>
      <c r="X5" s="4">
        <v>46007</v>
      </c>
      <c r="Y5" s="2">
        <v>32.659999999999997</v>
      </c>
      <c r="Z5" s="2">
        <v>4.1100000000000003</v>
      </c>
      <c r="AA5" s="2">
        <f t="shared" si="0"/>
        <v>36.769999999999996</v>
      </c>
      <c r="AB5" s="2">
        <f t="shared" si="1"/>
        <v>7185.1999999999989</v>
      </c>
      <c r="AC5" s="2">
        <f t="shared" si="2"/>
        <v>8089.3999999999987</v>
      </c>
      <c r="AD5" s="2">
        <v>41.8</v>
      </c>
      <c r="AE5" s="2">
        <f t="shared" si="3"/>
        <v>9196</v>
      </c>
      <c r="AF5" s="3" t="s">
        <v>49</v>
      </c>
    </row>
    <row r="6" spans="1:32" x14ac:dyDescent="0.25">
      <c r="A6" s="2">
        <v>273</v>
      </c>
      <c r="B6" s="2">
        <v>279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  <c r="I6" s="4">
        <v>45990</v>
      </c>
      <c r="J6" s="3" t="s">
        <v>25</v>
      </c>
      <c r="K6" s="3" t="s">
        <v>26</v>
      </c>
      <c r="L6">
        <v>3591</v>
      </c>
      <c r="M6" s="3" t="s">
        <v>27</v>
      </c>
      <c r="N6" s="3" t="s">
        <v>36</v>
      </c>
      <c r="O6" s="3" t="s">
        <v>29</v>
      </c>
      <c r="P6" s="3" t="s">
        <v>30</v>
      </c>
      <c r="Q6" s="3" t="s">
        <v>31</v>
      </c>
      <c r="R6" s="3" t="s">
        <v>32</v>
      </c>
      <c r="S6" s="2">
        <v>200</v>
      </c>
      <c r="T6" s="2">
        <v>40</v>
      </c>
      <c r="U6" s="2">
        <v>21.5</v>
      </c>
      <c r="V6" s="2">
        <v>22.5</v>
      </c>
      <c r="W6" s="2">
        <v>900</v>
      </c>
      <c r="X6" s="4">
        <v>46007</v>
      </c>
      <c r="Y6" s="2">
        <v>32.659999999999997</v>
      </c>
      <c r="Z6" s="2">
        <v>4.1100000000000003</v>
      </c>
      <c r="AA6" s="2">
        <f t="shared" si="0"/>
        <v>36.769999999999996</v>
      </c>
      <c r="AB6" s="2">
        <f t="shared" si="1"/>
        <v>1306.3999999999999</v>
      </c>
      <c r="AC6" s="2">
        <f t="shared" si="2"/>
        <v>1470.7999999999997</v>
      </c>
      <c r="AD6" s="2">
        <v>41.8</v>
      </c>
      <c r="AE6" s="2">
        <f t="shared" si="3"/>
        <v>1672</v>
      </c>
      <c r="AF6" s="3" t="s">
        <v>49</v>
      </c>
    </row>
    <row r="8" spans="1:32" x14ac:dyDescent="0.25">
      <c r="Y8" s="2"/>
      <c r="Z8" s="2"/>
      <c r="AA8" s="2"/>
      <c r="AB8" s="2"/>
    </row>
    <row r="9" spans="1:32" x14ac:dyDescent="0.25">
      <c r="T9" s="2"/>
      <c r="AB9" s="2"/>
    </row>
    <row r="10" spans="1:32" x14ac:dyDescent="0.25">
      <c r="AB10" s="2"/>
    </row>
    <row r="11" spans="1:32" x14ac:dyDescent="0.25">
      <c r="AB11" s="2"/>
    </row>
    <row r="12" spans="1:32" x14ac:dyDescent="0.25">
      <c r="AB12" s="2"/>
    </row>
    <row r="13" spans="1:32" x14ac:dyDescent="0.25">
      <c r="AB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Kimberly Reinoso</cp:lastModifiedBy>
  <dcterms:created xsi:type="dcterms:W3CDTF">2025-11-29T02:49:00Z</dcterms:created>
  <dcterms:modified xsi:type="dcterms:W3CDTF">2026-01-12T21:36:32Z</dcterms:modified>
</cp:coreProperties>
</file>