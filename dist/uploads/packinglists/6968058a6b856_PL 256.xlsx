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PACKING LIST\"/>
    </mc:Choice>
  </mc:AlternateContent>
  <xr:revisionPtr revIDLastSave="0" documentId="13_ncr:1_{4434B853-52F5-45C4-8139-814ACE9CFC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2" i="1"/>
  <c r="AA3" i="1"/>
  <c r="AA2" i="1"/>
  <c r="AB3" i="1"/>
  <c r="AB2" i="1"/>
</calcChain>
</file>

<file path=xl/sharedStrings.xml><?xml version="1.0" encoding="utf-8"?>
<sst xmlns="http://schemas.openxmlformats.org/spreadsheetml/2006/main" count="62" uniqueCount="48">
  <si>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</si>
  <si>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</si>
  <si>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</si>
  <si>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</si>
  <si>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</si>
  <si>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</si>
  <si>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</si>
  <si>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</si>
  <si>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Code Product EC</t>
  </si>
  <si>
    <t>Customer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</si>
  <si>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</si>
  <si>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</si>
  <si>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</si>
  <si>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</si>
  <si>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</si>
  <si>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</si>
  <si>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</si>
  <si>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USA</t>
  </si>
  <si>
    <t>Total Price BOX USA</t>
  </si>
  <si>
    <t>028-2025-40-02345349</t>
  </si>
  <si>
    <t>LAX, CA</t>
  </si>
  <si>
    <t>DHL</t>
  </si>
  <si>
    <t>HAPAG</t>
  </si>
  <si>
    <t>CFR</t>
  </si>
  <si>
    <t>15/11/2025</t>
  </si>
  <si>
    <t>94427393</t>
  </si>
  <si>
    <t>FANU1780973</t>
  </si>
  <si>
    <t>lex00516</t>
  </si>
  <si>
    <t>2060</t>
  </si>
  <si>
    <t>AMAZON</t>
  </si>
  <si>
    <t>KRAFT PAPER BAG /AMAZON /12x7x14in /250 /</t>
  </si>
  <si>
    <t>FSC MIX PBN-COC-075830</t>
  </si>
  <si>
    <t>2066</t>
  </si>
  <si>
    <t>497623</t>
  </si>
  <si>
    <t>Nº packingList_pl</t>
  </si>
  <si>
    <t>Nº OP</t>
  </si>
  <si>
    <t>Nº Container</t>
  </si>
  <si>
    <t>Nº Commercial Invoice</t>
  </si>
  <si>
    <t>Nº LOT</t>
  </si>
  <si>
    <t>Nº PO</t>
  </si>
  <si>
    <t>Code FSC</t>
  </si>
  <si>
    <t>Price Box EXW</t>
  </si>
  <si>
    <t>Price Logistic per box</t>
  </si>
  <si>
    <t>Total Price per box (y+z)</t>
  </si>
  <si>
    <t>Total Price EXW</t>
  </si>
  <si>
    <t>Total Price INCOTERM</t>
  </si>
  <si>
    <t>TYPE LOADE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</si>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</sst>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4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topLeftCell="T1" workbookViewId="0">
      <selection activeCell="AD8" sqref="AD8"/>
    </sheetView>
  </sheetViews>
  <sheetFormatPr baseColWidth="10" defaultColWidth="21.7109375" defaultRowHeight="13.5" x14ac:dyDescent="0.25"/>
  <cols>
    <col min="1" max="1" width="14.140625" bestFit="1" customWidth="1"/>
    <col min="2" max="2" width="5.5703125" bestFit="1" customWidth="1"/>
    <col min="3" max="3" width="19.85546875" bestFit="1" customWidth="1"/>
    <col min="4" max="4" width="10.5703125" bestFit="1" customWidth="1"/>
    <col min="5" max="5" width="11.28515625" bestFit="1" customWidth="1"/>
    <col min="6" max="6" width="8" bestFit="1" customWidth="1"/>
    <col min="9" max="9" width="19.5703125" bestFit="1" customWidth="1"/>
    <col min="10" max="10" width="15" bestFit="1" customWidth="1"/>
    <col min="12" max="12" width="13.85546875" bestFit="1" customWidth="1"/>
    <col min="13" max="13" width="10.42578125" bestFit="1" customWidth="1"/>
    <col min="14" max="14" width="8.5703125" bestFit="1" customWidth="1"/>
    <col min="15" max="15" width="9.7109375" bestFit="1" customWidth="1"/>
    <col min="16" max="16" width="7" bestFit="1" customWidth="1"/>
    <col min="17" max="17" width="35.85546875" bestFit="1" customWidth="1"/>
    <col min="18" max="18" width="21.42578125" bestFit="1" customWidth="1"/>
    <col min="19" max="19" width="10.28515625" bestFit="1" customWidth="1"/>
    <col min="20" max="20" width="6.85546875" bestFit="1" customWidth="1"/>
    <col min="22" max="22" width="12.5703125" bestFit="1" customWidth="1"/>
    <col min="23" max="23" width="10.140625" bestFit="1" customWidth="1"/>
    <col min="24" max="24" width="10.85546875" bestFit="1" customWidth="1"/>
    <col min="25" max="25" width="11.42578125" bestFit="1" customWidth="1"/>
    <col min="26" max="26" width="17.140625" bestFit="1" customWidth="1"/>
    <col min="27" max="27" width="19.140625" bestFit="1" customWidth="1"/>
    <col min="30" max="30" width="11.85546875" bestFit="1" customWidth="1"/>
    <col min="31" max="31" width="16.140625" bestFit="1" customWidth="1"/>
  </cols>
  <sheetData>
    <row r="1" spans="1:32" x14ac:dyDescent="0.25">
      <c r="A1" s="1" t="s">
        <v>34</v>
      </c>
      <c r="B1" s="1" t="s">
        <v>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36</v>
      </c>
      <c r="L1" s="1" t="s">
        <v>37</v>
      </c>
      <c r="M1" s="1" t="s">
        <v>8</v>
      </c>
      <c r="N1" s="1" t="s">
        <v>38</v>
      </c>
      <c r="O1" s="1" t="s">
        <v>9</v>
      </c>
      <c r="P1" s="1" t="s">
        <v>39</v>
      </c>
      <c r="Q1" s="1" t="s">
        <v>10</v>
      </c>
      <c r="R1" s="1" t="s">
        <v>40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41</v>
      </c>
      <c r="Z1" s="5" t="s">
        <v>42</v>
      </c>
      <c r="AA1" s="5" t="s">
        <v>43</v>
      </c>
      <c r="AB1" s="6" t="s">
        <v>44</v>
      </c>
      <c r="AC1" s="7" t="s">
        <v>45</v>
      </c>
      <c r="AD1" s="1" t="s">
        <v>17</v>
      </c>
      <c r="AE1" s="1" t="s">
        <v>18</v>
      </c>
      <c r="AF1" s="5" t="s">
        <v>46</v>
      </c>
    </row>
    <row r="2" spans="1:32" x14ac:dyDescent="0.25">
      <c r="A2" s="2">
        <v>256</v>
      </c>
      <c r="B2">
        <v>285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4">
        <v>45977</v>
      </c>
      <c r="J2" s="3" t="s">
        <v>25</v>
      </c>
      <c r="K2" s="3" t="s">
        <v>26</v>
      </c>
      <c r="L2">
        <v>3539</v>
      </c>
      <c r="M2" s="3" t="s">
        <v>27</v>
      </c>
      <c r="N2" s="3" t="s">
        <v>28</v>
      </c>
      <c r="O2" s="3" t="s">
        <v>29</v>
      </c>
      <c r="P2" s="3" t="s">
        <v>33</v>
      </c>
      <c r="Q2" s="3" t="s">
        <v>30</v>
      </c>
      <c r="R2" s="3" t="s">
        <v>31</v>
      </c>
      <c r="S2" s="2">
        <v>250</v>
      </c>
      <c r="T2" s="2">
        <v>962</v>
      </c>
      <c r="U2" s="2">
        <v>18.5</v>
      </c>
      <c r="V2" s="2">
        <v>19.5</v>
      </c>
      <c r="W2" s="2">
        <v>18759</v>
      </c>
      <c r="X2" s="4">
        <v>46005</v>
      </c>
      <c r="Y2" s="2">
        <v>21.925000000000001</v>
      </c>
      <c r="Z2" s="2">
        <v>3.03</v>
      </c>
      <c r="AA2">
        <f>+Y2+Z2</f>
        <v>24.955000000000002</v>
      </c>
      <c r="AB2">
        <f>+Y2*T2</f>
        <v>21091.850000000002</v>
      </c>
      <c r="AC2">
        <f>+AA2*T2</f>
        <v>24006.710000000003</v>
      </c>
      <c r="AD2" s="2">
        <v>28.5</v>
      </c>
      <c r="AE2" s="2">
        <v>27417</v>
      </c>
      <c r="AF2" t="s">
        <v>47</v>
      </c>
    </row>
    <row r="3" spans="1:32" x14ac:dyDescent="0.25">
      <c r="A3" s="2">
        <v>256</v>
      </c>
      <c r="B3">
        <v>285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4">
        <v>45977</v>
      </c>
      <c r="J3" s="3" t="s">
        <v>25</v>
      </c>
      <c r="K3" s="3" t="s">
        <v>26</v>
      </c>
      <c r="L3">
        <v>3539</v>
      </c>
      <c r="M3" s="3" t="s">
        <v>27</v>
      </c>
      <c r="N3" s="3" t="s">
        <v>32</v>
      </c>
      <c r="O3" s="3" t="s">
        <v>29</v>
      </c>
      <c r="P3" s="3" t="s">
        <v>33</v>
      </c>
      <c r="Q3" s="3" t="s">
        <v>30</v>
      </c>
      <c r="R3" s="3" t="s">
        <v>31</v>
      </c>
      <c r="S3" s="2">
        <v>250</v>
      </c>
      <c r="T3" s="2">
        <v>60</v>
      </c>
      <c r="U3" s="2">
        <v>18.5</v>
      </c>
      <c r="V3" s="2">
        <v>19.5</v>
      </c>
      <c r="W3" s="2">
        <v>1170</v>
      </c>
      <c r="X3" s="4">
        <v>46005</v>
      </c>
      <c r="Y3" s="2">
        <v>21.925000000000001</v>
      </c>
      <c r="Z3" s="2">
        <v>3.03</v>
      </c>
      <c r="AA3">
        <f>+Y3+Z3</f>
        <v>24.955000000000002</v>
      </c>
      <c r="AB3">
        <f>+Y3*T3</f>
        <v>1315.5</v>
      </c>
      <c r="AC3">
        <f>+AA3*T3</f>
        <v>1497.3000000000002</v>
      </c>
      <c r="AD3" s="2">
        <v>28.5</v>
      </c>
      <c r="AE3" s="2">
        <v>1710</v>
      </c>
      <c r="AF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Kimberly Reinoso</cp:lastModifiedBy>
  <dcterms:created xsi:type="dcterms:W3CDTF">2025-11-21T17:29:54Z</dcterms:created>
  <dcterms:modified xsi:type="dcterms:W3CDTF">2026-01-14T21:06:59Z</dcterms:modified>
</cp:coreProperties>
</file>