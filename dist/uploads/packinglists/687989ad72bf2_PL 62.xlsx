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\"/>
    </mc:Choice>
  </mc:AlternateContent>
  <xr:revisionPtr revIDLastSave="0" documentId="13_ncr:1_{E39CEADE-8050-42C5-A2ED-5CB769B0B1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U7" i="1"/>
  <c r="V7" i="1" s="1"/>
  <c r="U6" i="1"/>
  <c r="U5" i="1"/>
  <c r="V5" i="1" s="1"/>
  <c r="U4" i="1"/>
  <c r="V4" i="1" s="1"/>
  <c r="U3" i="1"/>
  <c r="V3" i="1" s="1"/>
  <c r="U2" i="1"/>
  <c r="V2" i="1" s="1"/>
  <c r="AA6" i="1"/>
  <c r="AA3" i="1"/>
  <c r="AA2" i="1"/>
</calcChain>
</file>

<file path=xl/sharedStrings.xml><?xml version="1.0" encoding="utf-8"?>
<sst xmlns="http://schemas.openxmlformats.org/spreadsheetml/2006/main" count="106" uniqueCount="64">
  <si>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</si>
  <si>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</si>
  <si>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</si>
  <si>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</si>
  <si>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</si>
  <si>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</si>
  <si>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</si>
  <si>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</si>
  <si>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</si>
  <si>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</si>
  <si>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</si>
  <si>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</si>
  <si>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</si>
  <si>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</si>
  <si>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</si>
  <si>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</si>
  <si>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</si>
  <si>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</si>
  <si>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</si>
  <si>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</si>
  <si>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</si>
  <si>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</si>
  <si>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</si>
  <si>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</si>
  <si>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</si>
  <si>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</si>
  <si>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MIAMI</t>
  </si>
  <si>
    <t>lex00386</t>
  </si>
  <si>
    <t>1687</t>
  </si>
  <si>
    <t>ACME</t>
  </si>
  <si>
    <t>28864</t>
  </si>
  <si>
    <t>WHITE KRAFT PAPER BAG POTOMAC PIZZA 12X8X13 (250)</t>
  </si>
  <si>
    <t>CFR</t>
  </si>
  <si>
    <t>lex00382</t>
  </si>
  <si>
    <t>1688</t>
  </si>
  <si>
    <t>MAX PACK</t>
  </si>
  <si>
    <t>180267</t>
  </si>
  <si>
    <t>WHITE KRAFT PAPER BAG BON TON PRIME 13X7X12.5 (250)</t>
  </si>
  <si>
    <t>LEX00421</t>
  </si>
  <si>
    <t>1762</t>
  </si>
  <si>
    <t>AMERICAN PAPER</t>
  </si>
  <si>
    <t>87051</t>
  </si>
  <si>
    <t>WHITE KRAFT PAPER BAG DOTTED PIG 8.64x4.13x10.43 (250)</t>
  </si>
  <si>
    <t>LEX00409</t>
  </si>
  <si>
    <t>1761</t>
  </si>
  <si>
    <t>THE PACKAGING SOURCE</t>
  </si>
  <si>
    <t>10103</t>
  </si>
  <si>
    <t xml:space="preserve">WHITE KRAFT PAPER BAG WONDERLAND TOYS 10x5x13 (250)
</t>
  </si>
  <si>
    <t>LEX00202</t>
  </si>
  <si>
    <t>1717</t>
  </si>
  <si>
    <t>STOCK</t>
  </si>
  <si>
    <t>KRAFT NATURAL PAPER PLAIN BAG CHESAPEAKE 12X8X13</t>
  </si>
  <si>
    <t>LEX00186</t>
  </si>
  <si>
    <t>1750</t>
  </si>
  <si>
    <t>ON</t>
  </si>
  <si>
    <t>KRAFT NATURAL PAPER BAG OLD NAVY SMALL EVERYDAY 112 GSM 25X11X34 (300)</t>
  </si>
  <si>
    <t>OOCU8465406</t>
  </si>
  <si>
    <t>DHL</t>
  </si>
  <si>
    <t>COSCO</t>
  </si>
  <si>
    <t>028-2025-40-01411093</t>
  </si>
  <si>
    <t>11/6/2025</t>
  </si>
  <si>
    <t>6420739020</t>
  </si>
  <si>
    <t>arancel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</si>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</sst>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selection activeCell="E14" sqref="E14"/>
    </sheetView>
  </sheetViews>
  <sheetFormatPr baseColWidth="10" defaultColWidth="21.7109375" defaultRowHeight="12.75" x14ac:dyDescent="0.2"/>
  <cols>
    <col min="17" max="17" width="65" bestFit="1" customWidth="1"/>
    <col min="20" max="25" width="21.7109375" customWidth="1"/>
    <col min="28" max="28" width="0" hidden="1" customWidth="1"/>
  </cols>
  <sheetData>
    <row r="1" spans="1:28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62</v>
      </c>
    </row>
    <row r="2" spans="1:28" x14ac:dyDescent="0.2">
      <c r="A2" s="2">
        <v>62</v>
      </c>
      <c r="B2" s="2">
        <v>197</v>
      </c>
      <c r="C2" s="3" t="s">
        <v>59</v>
      </c>
      <c r="D2" s="3" t="s">
        <v>26</v>
      </c>
      <c r="E2" t="s">
        <v>57</v>
      </c>
      <c r="F2" t="s">
        <v>58</v>
      </c>
      <c r="G2" s="3" t="s">
        <v>32</v>
      </c>
      <c r="H2" s="3" t="s">
        <v>60</v>
      </c>
      <c r="I2" s="4">
        <v>45820</v>
      </c>
      <c r="J2" s="3" t="s">
        <v>61</v>
      </c>
      <c r="K2" t="s">
        <v>56</v>
      </c>
      <c r="L2">
        <v>3150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2">
        <v>250</v>
      </c>
      <c r="S2" s="2">
        <v>29</v>
      </c>
      <c r="T2" s="6">
        <v>18.59</v>
      </c>
      <c r="U2" s="6">
        <f>T2+1</f>
        <v>19.59</v>
      </c>
      <c r="V2" s="7">
        <f>S2*U2</f>
        <v>568.11</v>
      </c>
      <c r="W2" s="5">
        <v>45829</v>
      </c>
      <c r="X2" s="2">
        <v>42</v>
      </c>
      <c r="Y2" s="2">
        <v>1218</v>
      </c>
      <c r="Z2" s="2">
        <v>54</v>
      </c>
      <c r="AA2" s="2">
        <f>+S2*Z2</f>
        <v>1566</v>
      </c>
      <c r="AB2" s="2">
        <v>4.59</v>
      </c>
    </row>
    <row r="3" spans="1:28" ht="15" x14ac:dyDescent="0.2">
      <c r="A3" s="2">
        <v>62</v>
      </c>
      <c r="B3" s="2">
        <v>197</v>
      </c>
      <c r="C3" s="3" t="s">
        <v>59</v>
      </c>
      <c r="D3" s="3" t="s">
        <v>26</v>
      </c>
      <c r="E3" t="s">
        <v>57</v>
      </c>
      <c r="F3" t="s">
        <v>58</v>
      </c>
      <c r="G3" s="3" t="s">
        <v>32</v>
      </c>
      <c r="H3" s="3" t="s">
        <v>60</v>
      </c>
      <c r="I3" s="4">
        <v>45820</v>
      </c>
      <c r="J3" s="3" t="s">
        <v>61</v>
      </c>
      <c r="K3" t="s">
        <v>56</v>
      </c>
      <c r="L3">
        <v>3153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2">
        <v>250</v>
      </c>
      <c r="S3" s="2">
        <v>10</v>
      </c>
      <c r="T3" s="8">
        <v>16.59</v>
      </c>
      <c r="U3" s="6">
        <f>T3+1</f>
        <v>17.59</v>
      </c>
      <c r="V3" s="7">
        <f t="shared" ref="V3:V7" si="0">S3*U3</f>
        <v>175.9</v>
      </c>
      <c r="W3" s="5">
        <v>45829</v>
      </c>
      <c r="X3" s="2">
        <v>32.25</v>
      </c>
      <c r="Y3" s="2">
        <v>322.5</v>
      </c>
      <c r="Z3" s="2">
        <v>41.89</v>
      </c>
      <c r="AA3" s="2">
        <f>+S3*Z3</f>
        <v>418.9</v>
      </c>
      <c r="AB3" s="2">
        <v>3.56</v>
      </c>
    </row>
    <row r="4" spans="1:28" x14ac:dyDescent="0.2">
      <c r="A4" s="2">
        <v>62</v>
      </c>
      <c r="B4" s="2">
        <v>197</v>
      </c>
      <c r="C4" s="3" t="s">
        <v>59</v>
      </c>
      <c r="D4" s="3" t="s">
        <v>26</v>
      </c>
      <c r="E4" t="s">
        <v>57</v>
      </c>
      <c r="F4" t="s">
        <v>58</v>
      </c>
      <c r="G4" s="3" t="s">
        <v>32</v>
      </c>
      <c r="H4" s="3" t="s">
        <v>60</v>
      </c>
      <c r="I4" s="4">
        <v>45820</v>
      </c>
      <c r="J4" s="3" t="s">
        <v>61</v>
      </c>
      <c r="K4" t="s">
        <v>56</v>
      </c>
      <c r="L4">
        <v>3152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2">
        <v>250</v>
      </c>
      <c r="S4" s="2">
        <v>21</v>
      </c>
      <c r="T4" s="6">
        <v>12.09</v>
      </c>
      <c r="U4" s="6">
        <f>T4+1</f>
        <v>13.09</v>
      </c>
      <c r="V4" s="7">
        <f t="shared" si="0"/>
        <v>274.89</v>
      </c>
      <c r="W4" s="5">
        <v>45829</v>
      </c>
      <c r="X4" s="2">
        <v>55.25</v>
      </c>
      <c r="Y4" s="2">
        <v>1160.25</v>
      </c>
      <c r="Z4" s="2">
        <v>71</v>
      </c>
      <c r="AA4" s="2">
        <v>1491</v>
      </c>
    </row>
    <row r="5" spans="1:28" x14ac:dyDescent="0.2">
      <c r="A5" s="2">
        <v>62</v>
      </c>
      <c r="B5" s="2">
        <v>197</v>
      </c>
      <c r="C5" s="3" t="s">
        <v>59</v>
      </c>
      <c r="D5" s="3" t="s">
        <v>26</v>
      </c>
      <c r="E5" t="s">
        <v>57</v>
      </c>
      <c r="F5" t="s">
        <v>58</v>
      </c>
      <c r="G5" s="3" t="s">
        <v>32</v>
      </c>
      <c r="H5" s="3" t="s">
        <v>60</v>
      </c>
      <c r="I5" s="4">
        <v>45820</v>
      </c>
      <c r="J5" s="3" t="s">
        <v>61</v>
      </c>
      <c r="K5" t="s">
        <v>56</v>
      </c>
      <c r="L5">
        <v>3154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2">
        <v>250</v>
      </c>
      <c r="S5" s="2">
        <v>21</v>
      </c>
      <c r="T5" s="6">
        <v>17.09</v>
      </c>
      <c r="U5" s="6">
        <f t="shared" ref="U5:U7" si="1">T5+1</f>
        <v>18.09</v>
      </c>
      <c r="V5" s="7">
        <f t="shared" si="0"/>
        <v>379.89</v>
      </c>
      <c r="W5" s="5">
        <v>45829</v>
      </c>
      <c r="X5" s="2">
        <v>50.5</v>
      </c>
      <c r="Y5" s="2">
        <v>1060.5</v>
      </c>
      <c r="Z5" s="2">
        <v>64.75</v>
      </c>
      <c r="AA5" s="2">
        <v>1359.75</v>
      </c>
    </row>
    <row r="6" spans="1:28" x14ac:dyDescent="0.2">
      <c r="A6" s="2">
        <v>62</v>
      </c>
      <c r="B6" s="2">
        <v>197</v>
      </c>
      <c r="C6" s="3" t="s">
        <v>59</v>
      </c>
      <c r="D6" s="3" t="s">
        <v>26</v>
      </c>
      <c r="E6" t="s">
        <v>57</v>
      </c>
      <c r="F6" t="s">
        <v>58</v>
      </c>
      <c r="G6" s="3" t="s">
        <v>32</v>
      </c>
      <c r="H6" s="3" t="s">
        <v>60</v>
      </c>
      <c r="I6" s="4">
        <v>45820</v>
      </c>
      <c r="J6" s="3" t="s">
        <v>61</v>
      </c>
      <c r="K6" t="s">
        <v>56</v>
      </c>
      <c r="L6">
        <v>3150</v>
      </c>
      <c r="M6" s="3" t="s">
        <v>48</v>
      </c>
      <c r="N6" s="3" t="s">
        <v>49</v>
      </c>
      <c r="O6" s="3" t="s">
        <v>29</v>
      </c>
      <c r="P6" s="3" t="s">
        <v>50</v>
      </c>
      <c r="Q6" s="3" t="s">
        <v>51</v>
      </c>
      <c r="R6" s="2">
        <v>250</v>
      </c>
      <c r="S6" s="2">
        <v>72</v>
      </c>
      <c r="T6" s="6">
        <v>18.59</v>
      </c>
      <c r="U6" s="6">
        <f t="shared" si="1"/>
        <v>19.59</v>
      </c>
      <c r="V6" s="7">
        <f t="shared" si="0"/>
        <v>1410.48</v>
      </c>
      <c r="W6" s="5">
        <v>45829</v>
      </c>
      <c r="X6" s="2">
        <v>29.3</v>
      </c>
      <c r="Y6" s="2">
        <v>2109.6</v>
      </c>
      <c r="Z6" s="2">
        <v>36</v>
      </c>
      <c r="AA6" s="2">
        <f>+S6*Z6</f>
        <v>2592</v>
      </c>
      <c r="AB6" s="2">
        <v>3.06</v>
      </c>
    </row>
    <row r="7" spans="1:28" x14ac:dyDescent="0.2">
      <c r="A7" s="2">
        <v>62</v>
      </c>
      <c r="B7" s="2">
        <v>197</v>
      </c>
      <c r="C7" s="3" t="s">
        <v>59</v>
      </c>
      <c r="D7" s="3" t="s">
        <v>26</v>
      </c>
      <c r="E7" t="s">
        <v>57</v>
      </c>
      <c r="F7" t="s">
        <v>58</v>
      </c>
      <c r="G7" s="3" t="s">
        <v>32</v>
      </c>
      <c r="H7" s="3" t="s">
        <v>60</v>
      </c>
      <c r="I7" s="4">
        <v>45820</v>
      </c>
      <c r="J7" s="3" t="s">
        <v>61</v>
      </c>
      <c r="K7" t="s">
        <v>56</v>
      </c>
      <c r="L7">
        <v>3155</v>
      </c>
      <c r="M7" s="3" t="s">
        <v>52</v>
      </c>
      <c r="N7" s="3" t="s">
        <v>53</v>
      </c>
      <c r="O7" s="3" t="s">
        <v>54</v>
      </c>
      <c r="P7" s="3" t="s">
        <v>50</v>
      </c>
      <c r="Q7" s="3" t="s">
        <v>55</v>
      </c>
      <c r="R7" s="2">
        <v>300</v>
      </c>
      <c r="S7" s="2">
        <v>816</v>
      </c>
      <c r="T7" s="6">
        <v>17.100000000000001</v>
      </c>
      <c r="U7" s="6">
        <f t="shared" si="1"/>
        <v>18.100000000000001</v>
      </c>
      <c r="V7" s="7">
        <f t="shared" si="0"/>
        <v>14769.6</v>
      </c>
      <c r="W7" s="5">
        <v>45829</v>
      </c>
      <c r="X7" s="2">
        <v>31.8</v>
      </c>
      <c r="Y7" s="2">
        <v>25948.799999999999</v>
      </c>
      <c r="Z7" s="2">
        <v>38.61</v>
      </c>
      <c r="AA7" s="2">
        <v>31505.759999999998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kreinoso</cp:lastModifiedBy>
  <dcterms:created xsi:type="dcterms:W3CDTF">2025-06-18T15:04:52Z</dcterms:created>
  <dcterms:modified xsi:type="dcterms:W3CDTF">2025-07-07T19:50:36Z</dcterms:modified>
</cp:coreProperties>
</file>